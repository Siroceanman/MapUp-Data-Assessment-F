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gar\OneDrive\Desktop\"/>
    </mc:Choice>
  </mc:AlternateContent>
  <xr:revisionPtr revIDLastSave="0" documentId="13_ncr:1_{30BC5CE1-7542-4F22-BEFD-BB5E81C26245}" xr6:coauthVersionLast="47" xr6:coauthVersionMax="47" xr10:uidLastSave="{00000000-0000-0000-0000-000000000000}"/>
  <bookViews>
    <workbookView xWindow="-108" yWindow="-108" windowWidth="23256" windowHeight="12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Dataset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_A">Task_5!$A$9:$J$18</definedName>
    <definedName name="Table_B">Task_5!$M$9:$N$18</definedName>
    <definedName name="Table_C">Task_5!$A$22:$C$35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7" i="18"/>
  <c r="C8" i="18"/>
  <c r="C9" i="18"/>
  <c r="C10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F6" i="18"/>
  <c r="E6" i="18"/>
  <c r="D6" i="18"/>
  <c r="C6" i="18"/>
  <c r="B6" i="18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C16" i="16"/>
  <c r="B16" i="16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<sst xmlns="http://schemas.openxmlformats.org/spreadsheetml/2006/main" count="333" uniqueCount="188">
  <si>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</si>
  <si>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</si>
  <si>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</si>
  <si>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</si>
  <si>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</si>
  <si>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</si>
  <si>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</si>
  <si>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</si>
  <si>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</si>
  <si>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</si>
  <si>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</si>
  <si>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</si>
  <si>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</si>
  <si>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</si>
  <si>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</si>
  <si>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</si>
  <si>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</si>
  <si>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</si>
  <si>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</si>
  <si>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</si>
  <si>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</si>
  <si>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</si>
  <si>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</si>
  <si>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</si>
  <si>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</si>
  <si>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</si>
  <si>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</si>
  <si>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</si>
  <si>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</si>
  <si>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</si>
  <si>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</si>
  <si>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</si>
  <si>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</si>
  <si>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</si>
  <si>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</si>
  <si>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</si>
  <si>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</si>
  <si>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</si>
  <si>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</si>
  <si>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</si>
  <si>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</si>
  <si>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</si>
  <si>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</si>
  <si>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</si>
  <si>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</si>
  <si>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</si>
  <si>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</si>
  <si>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</si>
  <si>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</si>
  <si>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</si>
  <si>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</si>
  <si>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</si>
  <si>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</si>
  <si>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</si>
  <si>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</si>
  <si>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</si>
  <si>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</si>
  <si>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</si>
  <si>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</si>
  <si>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</si>
  <si>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</si>
  <si>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</si>
  <si>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</si>
  <si>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</si>
  <si>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</si>
  <si>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</si>
  <si>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</si>
  <si>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</si>
  <si>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</si>
  <si>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</si>
  <si>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</si>
  <si>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</si>
  <si>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</si>
  <si>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</si>
  <si>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</si>
  <si>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</si>
  <si>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</si>
  <si>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</si>
  <si>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</si>
  <si>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</si>
  <si>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</si>
  <si>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</si>
  <si>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</si>
  <si>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</si>
  <si>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</si>
  <si>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</si>
  <si>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</si>
  <si>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</si>
  <si>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</si>
  <si>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</si>
  <si>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</si>
  <si>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</si>
  <si>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</si>
  <si>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</si>
  <si>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</si>
  <si>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</si>
  <si>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</si>
  <si>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</si>
  <si>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</si>
  <si>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</si>
  <si>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</si>
  <si>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</si>
  <si>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</si>
  <si>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</si>
  <si>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</si>
  <si>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</si>
  <si>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</si>
  <si>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</si>
  <si>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</si>
  <si>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</si>
  <si>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</si>
  <si>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</si>
  <si>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</si>
  <si>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</si>
  <si>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</si>
  <si>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</si>
  <si>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</si>
  <si>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</si>
  <si>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</si>
  <si>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</si>
  <si>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</si>
  <si>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</si>
  <si>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</si>
  <si>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</si>
  <si>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</si>
  <si>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</si>
  <si>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</si>
  <si>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</si>
  <si>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</si>
  <si>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</si>
  <si>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</si>
  <si>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</si>
  <si>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</si>
  <si>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</si>
  <si>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</si>
  <si>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</si>
  <si>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</si>
  <si>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</si>
  <si>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</si>
  <si>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</si>
  <si>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</si>
  <si>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</si>
  <si>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</si>
  <si>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</si>
  <si>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</si>
  <si>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</si>
  <si>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</si>
  <si>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</si>
  <si>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</si>
  <si>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</si>
  <si>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</si>
  <si>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</si>
  <si>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</si>
  <si>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</si>
  <si>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</si>
  <si>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</si>
  <si>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</si>
  <si>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</si>
  <si>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</si>
  <si>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</si>
  <si>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</si>
  <si>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</si>
  <si>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</si>
  <si>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</si>
  <si>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</si>
  <si>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</si>
  <si>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</si>
  <si>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</si>
  <si>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</si>
  <si>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</si>
  <si>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</si>
  <si>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</si>
  <si>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</si>
  <si>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</si>
  <si>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</si>
  <si>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</si>
  <si>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</si>
  <si>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2. If the cell contains #N/A, it substitutes it with '20'; otherwise, it keeps the original value.</t>
  </si>
  <si>
    <t>1. ISNA(C12:C21)</t>
  </si>
  <si>
    <t>1. This part of the formula checks for each cell in the Sales column (C12 to C21) if it contains the #N/A error.</t>
  </si>
  <si>
    <t>3. SUM(IF(ISNA(C12:C21), -20, C12:C21))</t>
  </si>
  <si>
    <t>2. IF(ISNA(C12:C21), -20, C12:C21)</t>
  </si>
  <si>
    <t>1. INDEX($A$9:$N$18,MATCH(B23,$M$9:$M$18,0),MATCH(A11,$A$9:$J$9,0)</t>
  </si>
  <si>
    <t>2. INDEX($A$9:$N$18,MATCH(A23,$M$9:$M$18,0),MATCH(A10,$A$9:$J$9,0)</t>
  </si>
  <si>
    <t>3. Sum</t>
  </si>
  <si>
    <t>1. This trace the number in Name_2 and finds the matched number in Table_B &amp; then finds the value region in Table_A</t>
  </si>
  <si>
    <t>2. This trace the number in Name_1 and finds the matched number in Table_B &amp; then finds the value region in Table_A</t>
  </si>
  <si>
    <t>3. It sums up the value in the both index matching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</si>
</sst>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[$-14009]yyyy/mm/dd;@"/>
    <numFmt numFmtId="167" formatCode="0.0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167" fontId="3" fillId="5" borderId="1" xfId="0" applyNumberFormat="1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N2" sqref="N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1" priority="7"/>
  </conditionalFormatting>
  <conditionalFormatting sqref="B1:B1048576">
    <cfRule type="duplicateValues" dxfId="0" priority="6"/>
  </conditionalFormatting>
  <conditionalFormatting sqref="J1:J1048576">
    <cfRule type="colorScale" priority="2">
      <colorScale>
        <cfvo type="num" val="-1"/>
        <cfvo type="num" val="0"/>
        <color rgb="FFFF0000"/>
        <color rgb="FF92D050"/>
      </colorScale>
    </cfRule>
  </conditionalFormatting>
  <conditionalFormatting sqref="K1:L1048576">
    <cfRule type="colorScale" priority="1">
      <colorScale>
        <cfvo type="num" val="-1"/>
        <cfvo type="num" val="0"/>
        <color rgb="FFFF0000"/>
        <color rgb="FF92D05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SUMIF(Dataset!$H$2:$H$40,"&gt;20",Dataset!H2:H400)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Normal="100" workbookViewId="0">
      <selection activeCell="E30" sqref="E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 t="shared" ref="B6:B27" si="0">VLOOKUP(A6,Dataset,7,0)</f>
        <v>2.7</v>
      </c>
      <c r="C6" s="11">
        <f t="shared" ref="C6:C27" si="1">VLOOKUP(A6,Dataset,14,0)</f>
        <v>7.6</v>
      </c>
      <c r="D6" s="11">
        <f t="shared" ref="D6:D27" si="2">VLOOKUP(A6,Dataset,18,0)</f>
        <v>4.2</v>
      </c>
      <c r="E6" s="11">
        <f t="shared" ref="E6:E27" si="3">VLOOKUP(A6,Dataset,20,0)</f>
        <v>8.9</v>
      </c>
      <c r="F6" s="8">
        <f t="shared" ref="F6:F27" si="4">VLOOKUP(A6,Dataset,22,0)</f>
        <v>4.2</v>
      </c>
    </row>
    <row r="7" spans="1:7" ht="14.4" x14ac:dyDescent="0.3">
      <c r="A7" s="7" t="s">
        <v>4</v>
      </c>
      <c r="B7" s="11">
        <f t="shared" si="0"/>
        <v>2.7</v>
      </c>
      <c r="C7" s="11">
        <f t="shared" si="1"/>
        <v>7.6</v>
      </c>
      <c r="D7" s="11">
        <f t="shared" si="2"/>
        <v>4.2</v>
      </c>
      <c r="E7" s="11">
        <f t="shared" si="3"/>
        <v>8.9</v>
      </c>
      <c r="F7" s="8">
        <f t="shared" si="4"/>
        <v>4.2</v>
      </c>
    </row>
    <row r="8" spans="1:7" ht="14.4" x14ac:dyDescent="0.3">
      <c r="A8" s="7" t="s">
        <v>7</v>
      </c>
      <c r="B8" s="11">
        <f t="shared" si="0"/>
        <v>3.6</v>
      </c>
      <c r="C8" s="11">
        <f t="shared" si="1"/>
        <v>11.1</v>
      </c>
      <c r="D8" s="11">
        <f t="shared" si="2"/>
        <v>5.8</v>
      </c>
      <c r="E8" s="11">
        <f t="shared" si="3"/>
        <v>12.2</v>
      </c>
      <c r="F8" s="8">
        <f t="shared" si="4"/>
        <v>5.8</v>
      </c>
    </row>
    <row r="9" spans="1:7" ht="14.4" x14ac:dyDescent="0.3">
      <c r="A9" s="7" t="s">
        <v>8</v>
      </c>
      <c r="B9" s="11">
        <f t="shared" si="0"/>
        <v>4.9000000000000004</v>
      </c>
      <c r="C9" s="11">
        <f t="shared" si="1"/>
        <v>13.3</v>
      </c>
      <c r="D9" s="11">
        <f t="shared" si="2"/>
        <v>8.1</v>
      </c>
      <c r="E9" s="11">
        <f t="shared" si="3"/>
        <v>17</v>
      </c>
      <c r="F9" s="8">
        <f t="shared" si="4"/>
        <v>8.1</v>
      </c>
    </row>
    <row r="10" spans="1:7" ht="14.4" x14ac:dyDescent="0.3">
      <c r="A10" s="7" t="s">
        <v>11</v>
      </c>
      <c r="B10" s="11">
        <f t="shared" si="0"/>
        <v>9.4</v>
      </c>
      <c r="C10" s="11">
        <f t="shared" si="1"/>
        <v>28.3</v>
      </c>
      <c r="D10" s="11">
        <f t="shared" si="2"/>
        <v>16.100000000000001</v>
      </c>
      <c r="E10" s="11">
        <f t="shared" si="3"/>
        <v>32.799999999999997</v>
      </c>
      <c r="F10" s="8">
        <f t="shared" si="4"/>
        <v>16.100000000000001</v>
      </c>
    </row>
    <row r="11" spans="1:7" ht="14.4" x14ac:dyDescent="0.3">
      <c r="A11" s="7" t="s">
        <v>12</v>
      </c>
      <c r="B11" s="11">
        <f t="shared" si="0"/>
        <v>11.6</v>
      </c>
      <c r="C11" s="11">
        <f t="shared" si="1"/>
        <v>35.200000000000003</v>
      </c>
      <c r="D11" s="11">
        <f t="shared" si="2"/>
        <v>21.3</v>
      </c>
      <c r="E11" s="11">
        <f t="shared" si="3"/>
        <v>43</v>
      </c>
      <c r="F11" s="8">
        <f t="shared" si="4"/>
        <v>21.3</v>
      </c>
    </row>
    <row r="12" spans="1:7" ht="14.4" x14ac:dyDescent="0.3">
      <c r="A12" s="7" t="s">
        <v>14</v>
      </c>
      <c r="B12" s="11">
        <f t="shared" si="0"/>
        <v>18.399999999999999</v>
      </c>
      <c r="C12" s="11">
        <f t="shared" si="1"/>
        <v>55.6</v>
      </c>
      <c r="D12" s="11">
        <f t="shared" si="2"/>
        <v>33.799999999999997</v>
      </c>
      <c r="E12" s="11">
        <f t="shared" si="3"/>
        <v>67.900000000000006</v>
      </c>
      <c r="F12" s="8">
        <f t="shared" si="4"/>
        <v>33.799999999999997</v>
      </c>
    </row>
    <row r="13" spans="1:7" ht="14.4" x14ac:dyDescent="0.3">
      <c r="A13" s="7" t="s">
        <v>15</v>
      </c>
      <c r="B13" s="11">
        <f t="shared" si="0"/>
        <v>0</v>
      </c>
      <c r="C13" s="11">
        <f t="shared" si="1"/>
        <v>0</v>
      </c>
      <c r="D13" s="11">
        <f t="shared" si="2"/>
        <v>0</v>
      </c>
      <c r="E13" s="11">
        <f t="shared" si="3"/>
        <v>0</v>
      </c>
      <c r="F13" s="8">
        <f t="shared" si="4"/>
        <v>0</v>
      </c>
    </row>
    <row r="14" spans="1:7" ht="14.4" x14ac:dyDescent="0.3">
      <c r="A14" s="7" t="s">
        <v>16</v>
      </c>
      <c r="B14" s="11">
        <f t="shared" si="0"/>
        <v>21.9</v>
      </c>
      <c r="C14" s="11">
        <f t="shared" si="1"/>
        <v>61.5</v>
      </c>
      <c r="D14" s="11">
        <f t="shared" si="2"/>
        <v>40.1</v>
      </c>
      <c r="E14" s="11">
        <f t="shared" si="3"/>
        <v>76.599999999999994</v>
      </c>
      <c r="F14" s="8">
        <f t="shared" si="4"/>
        <v>40.1</v>
      </c>
    </row>
    <row r="15" spans="1:7" ht="14.4" x14ac:dyDescent="0.3">
      <c r="A15" s="7" t="s">
        <v>18</v>
      </c>
      <c r="B15" s="11">
        <f t="shared" si="0"/>
        <v>26.8</v>
      </c>
      <c r="C15" s="11">
        <f t="shared" si="1"/>
        <v>79.599999999999994</v>
      </c>
      <c r="D15" s="11">
        <f t="shared" si="2"/>
        <v>47.9</v>
      </c>
      <c r="E15" s="11">
        <f t="shared" si="3"/>
        <v>96.8</v>
      </c>
      <c r="F15" s="8">
        <f t="shared" si="4"/>
        <v>47.9</v>
      </c>
    </row>
    <row r="16" spans="1:7" ht="14.4" x14ac:dyDescent="0.3">
      <c r="A16" s="7" t="s">
        <v>20</v>
      </c>
      <c r="B16" s="11">
        <f t="shared" si="0"/>
        <v>28.5</v>
      </c>
      <c r="C16" s="11">
        <f t="shared" si="1"/>
        <v>85.4</v>
      </c>
      <c r="D16" s="11">
        <f t="shared" si="2"/>
        <v>52.3</v>
      </c>
      <c r="E16" s="11">
        <f t="shared" si="3"/>
        <v>106.1</v>
      </c>
      <c r="F16" s="8">
        <f t="shared" si="4"/>
        <v>52.3</v>
      </c>
    </row>
    <row r="17" spans="1:6" ht="14.4" x14ac:dyDescent="0.3">
      <c r="A17" s="7" t="s">
        <v>22</v>
      </c>
      <c r="B17" s="11">
        <f t="shared" si="0"/>
        <v>30.7</v>
      </c>
      <c r="C17" s="11">
        <f t="shared" si="1"/>
        <v>92.1</v>
      </c>
      <c r="D17" s="11">
        <f t="shared" si="2"/>
        <v>57</v>
      </c>
      <c r="E17" s="11">
        <f t="shared" si="3"/>
        <v>115.1</v>
      </c>
      <c r="F17" s="8">
        <f t="shared" si="4"/>
        <v>57</v>
      </c>
    </row>
    <row r="18" spans="1:6" ht="14.4" x14ac:dyDescent="0.3">
      <c r="A18" s="7" t="s">
        <v>23</v>
      </c>
      <c r="B18" s="11">
        <f t="shared" si="0"/>
        <v>33.799999999999997</v>
      </c>
      <c r="C18" s="11">
        <f t="shared" si="1"/>
        <v>101.3</v>
      </c>
      <c r="D18" s="11">
        <f t="shared" si="2"/>
        <v>61.4</v>
      </c>
      <c r="E18" s="11">
        <f t="shared" si="3"/>
        <v>124.4</v>
      </c>
      <c r="F18" s="8">
        <f t="shared" si="4"/>
        <v>61.4</v>
      </c>
    </row>
    <row r="19" spans="1:6" ht="14.4" x14ac:dyDescent="0.3">
      <c r="A19" s="7" t="s">
        <v>24</v>
      </c>
      <c r="B19" s="11">
        <f t="shared" si="0"/>
        <v>34.700000000000003</v>
      </c>
      <c r="C19" s="11">
        <f t="shared" si="1"/>
        <v>106.1</v>
      </c>
      <c r="D19" s="11">
        <f t="shared" si="2"/>
        <v>63.6</v>
      </c>
      <c r="E19" s="11">
        <f t="shared" si="3"/>
        <v>128.6</v>
      </c>
      <c r="F19" s="8">
        <f t="shared" si="4"/>
        <v>63.6</v>
      </c>
    </row>
    <row r="20" spans="1:6" ht="14.4" x14ac:dyDescent="0.3">
      <c r="A20" s="7" t="s">
        <v>28</v>
      </c>
      <c r="B20" s="11">
        <f t="shared" si="0"/>
        <v>0</v>
      </c>
      <c r="C20" s="11">
        <f t="shared" si="1"/>
        <v>0</v>
      </c>
      <c r="D20" s="11">
        <f t="shared" si="2"/>
        <v>0</v>
      </c>
      <c r="E20" s="11">
        <f t="shared" si="3"/>
        <v>0</v>
      </c>
      <c r="F20" s="8">
        <f t="shared" si="4"/>
        <v>0</v>
      </c>
    </row>
    <row r="21" spans="1:6" ht="14.4" x14ac:dyDescent="0.3">
      <c r="A21" s="7" t="s">
        <v>57</v>
      </c>
      <c r="B21" s="11">
        <f t="shared" si="0"/>
        <v>41.3</v>
      </c>
      <c r="C21" s="11">
        <f t="shared" si="1"/>
        <v>124.4</v>
      </c>
      <c r="D21" s="11">
        <f t="shared" si="2"/>
        <v>75</v>
      </c>
      <c r="E21" s="11">
        <f t="shared" si="3"/>
        <v>151.5</v>
      </c>
      <c r="F21" s="8">
        <f t="shared" si="4"/>
        <v>75</v>
      </c>
    </row>
    <row r="22" spans="1:6" ht="14.4" x14ac:dyDescent="0.3">
      <c r="A22" s="7" t="s">
        <v>58</v>
      </c>
      <c r="B22" s="11">
        <f t="shared" si="0"/>
        <v>-1</v>
      </c>
      <c r="C22" s="11">
        <f t="shared" si="1"/>
        <v>-1</v>
      </c>
      <c r="D22" s="11">
        <f t="shared" si="2"/>
        <v>-1</v>
      </c>
      <c r="E22" s="11">
        <f t="shared" si="3"/>
        <v>-1</v>
      </c>
      <c r="F22" s="8">
        <f t="shared" si="4"/>
        <v>-1</v>
      </c>
    </row>
    <row r="23" spans="1:6" ht="14.4" x14ac:dyDescent="0.3">
      <c r="A23" s="7" t="s">
        <v>31</v>
      </c>
      <c r="B23" s="11">
        <f t="shared" si="0"/>
        <v>45</v>
      </c>
      <c r="C23" s="11">
        <f t="shared" si="1"/>
        <v>133.4</v>
      </c>
      <c r="D23" s="11">
        <f t="shared" si="2"/>
        <v>79.400000000000006</v>
      </c>
      <c r="E23" s="11">
        <f t="shared" si="3"/>
        <v>160.9</v>
      </c>
      <c r="F23" s="8">
        <f t="shared" si="4"/>
        <v>79.400000000000006</v>
      </c>
    </row>
    <row r="24" spans="1:6" ht="14.4" x14ac:dyDescent="0.3">
      <c r="A24" s="7" t="s">
        <v>32</v>
      </c>
      <c r="B24" s="11">
        <f t="shared" si="0"/>
        <v>-1</v>
      </c>
      <c r="C24" s="11">
        <f t="shared" si="1"/>
        <v>-1</v>
      </c>
      <c r="D24" s="11">
        <f t="shared" si="2"/>
        <v>-1</v>
      </c>
      <c r="E24" s="11">
        <f t="shared" si="3"/>
        <v>-1</v>
      </c>
      <c r="F24" s="8">
        <f t="shared" si="4"/>
        <v>-1</v>
      </c>
    </row>
    <row r="25" spans="1:6" ht="14.4" x14ac:dyDescent="0.3">
      <c r="A25" s="7" t="s">
        <v>34</v>
      </c>
      <c r="B25" s="11">
        <f t="shared" si="0"/>
        <v>43.3</v>
      </c>
      <c r="C25" s="11">
        <f t="shared" si="1"/>
        <v>128.6</v>
      </c>
      <c r="D25" s="11">
        <f t="shared" si="2"/>
        <v>79.400000000000006</v>
      </c>
      <c r="E25" s="11">
        <f t="shared" si="3"/>
        <v>160.9</v>
      </c>
      <c r="F25" s="8">
        <f t="shared" si="4"/>
        <v>79.400000000000006</v>
      </c>
    </row>
    <row r="26" spans="1:6" ht="14.4" x14ac:dyDescent="0.3">
      <c r="A26" s="7" t="s">
        <v>37</v>
      </c>
      <c r="B26" s="11">
        <f t="shared" si="0"/>
        <v>49.1</v>
      </c>
      <c r="C26" s="11">
        <f t="shared" si="1"/>
        <v>146.80000000000001</v>
      </c>
      <c r="D26" s="11">
        <f t="shared" si="2"/>
        <v>90.9</v>
      </c>
      <c r="E26" s="11">
        <f t="shared" si="3"/>
        <v>183.5</v>
      </c>
      <c r="F26" s="8">
        <f t="shared" si="4"/>
        <v>90.9</v>
      </c>
    </row>
    <row r="27" spans="1:6" ht="14.4" x14ac:dyDescent="0.3">
      <c r="A27" s="7" t="s">
        <v>39</v>
      </c>
      <c r="B27" s="11">
        <f t="shared" si="0"/>
        <v>51.8</v>
      </c>
      <c r="C27" s="11">
        <f t="shared" si="1"/>
        <v>156.4</v>
      </c>
      <c r="D27" s="11">
        <f t="shared" si="2"/>
        <v>93.1</v>
      </c>
      <c r="E27" s="11">
        <f t="shared" si="3"/>
        <v>188.1</v>
      </c>
      <c r="F27" s="8">
        <f t="shared" si="4"/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5">MIN(C6:C27)</f>
        <v>-1</v>
      </c>
      <c r="D28" s="30">
        <f t="shared" si="5"/>
        <v>-1</v>
      </c>
      <c r="E28" s="30">
        <f t="shared" si="5"/>
        <v>-1</v>
      </c>
      <c r="F28" s="30">
        <f t="shared" si="5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6">MAX(C6:C27)</f>
        <v>156.4</v>
      </c>
      <c r="D29" s="30">
        <f t="shared" si="6"/>
        <v>93.1</v>
      </c>
      <c r="E29" s="30">
        <f t="shared" si="6"/>
        <v>188.1</v>
      </c>
      <c r="F29" s="30">
        <f t="shared" si="6"/>
        <v>93.1</v>
      </c>
    </row>
    <row r="30" spans="1:6" ht="14.4" x14ac:dyDescent="0.3">
      <c r="A30" s="18" t="s">
        <v>84</v>
      </c>
      <c r="B30" s="45">
        <f>AVERAGE(B6:B27)</f>
        <v>20.827272727272728</v>
      </c>
      <c r="C30" s="45">
        <f t="shared" ref="C30:F30" si="7">AVERAGE(C6:C27)</f>
        <v>62.377272727272725</v>
      </c>
      <c r="D30" s="30">
        <f t="shared" si="7"/>
        <v>37.800000000000004</v>
      </c>
      <c r="E30" s="45">
        <f t="shared" si="7"/>
        <v>76.418181818181822</v>
      </c>
      <c r="F30" s="30">
        <f t="shared" si="7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G51" sqref="G5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 t="str">
        <f>LEFT(A16,FIND("-",A16) - 1)</f>
        <v>20000</v>
      </c>
      <c r="C16" s="1" t="str">
        <f>MID(A16, FIND("-", A16) + 1, FIND("-", MID(A16, FIND("-", A16) + 1, LEN(A16)))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>
        <f>VALUE(MID(A16, SEARCH("-", A16, SEARCH("-", A16, SEARCH("-", A16, SEARCH("-", A16) + 1) + 1) + 1) + 1, LEN(A16) - SEARCH("-", A16, SEARCH("-", A16, SEARCH("-", A16, SEARCH("-", A16, SEARCH("-", A16) + 1) + 1) + 1))))</f>
        <v>24</v>
      </c>
    </row>
    <row r="17" spans="1:6" x14ac:dyDescent="0.3">
      <c r="A17" s="7" t="s">
        <v>122</v>
      </c>
      <c r="B17" s="11" t="str">
        <f t="shared" ref="B17:B54" si="0">LEFT(A17,FIND("-",A17) - 1)</f>
        <v>20002</v>
      </c>
      <c r="C17" s="1" t="str">
        <f t="shared" ref="C17:C54" si="1">MID(A17, FIND("-", A17) + 1, FIND("-", MID(A17, FIND("-", A17) + 1, LEN(A17)))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>
        <f t="shared" ref="F17:F54" si="4">VALUE(MID(A17, SEARCH("-", A17, SEARCH("-", A17, SEARCH("-", A17, SEARCH("-", A17) + 1) + 1) + 1) + 1, LEN(A17) - SEARCH("-", A17, SEARCH("-", A17, SEARCH("-", A17, SEARCH("-", A17, SEARCH("-", A17) + 1) + 1) + 1))))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G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7" ht="21" x14ac:dyDescent="0.4">
      <c r="A1" s="41" t="s">
        <v>85</v>
      </c>
      <c r="B1" s="40" t="s">
        <v>167</v>
      </c>
    </row>
    <row r="2" spans="1:7" ht="18" x14ac:dyDescent="0.35">
      <c r="B2" s="39" t="s">
        <v>166</v>
      </c>
    </row>
    <row r="5" spans="1:7" ht="14.4" x14ac:dyDescent="0.3">
      <c r="B5" s="1" t="s">
        <v>151</v>
      </c>
    </row>
    <row r="6" spans="1:7" ht="14.4" x14ac:dyDescent="0.3">
      <c r="A6" s="3" t="s">
        <v>53</v>
      </c>
      <c r="B6" s="1" t="s">
        <v>178</v>
      </c>
      <c r="D6" s="2" t="s">
        <v>181</v>
      </c>
      <c r="G6" s="2" t="s">
        <v>180</v>
      </c>
    </row>
    <row r="7" spans="1:7" ht="14.4" x14ac:dyDescent="0.3">
      <c r="A7" s="3" t="s">
        <v>153</v>
      </c>
      <c r="B7" s="1" t="s">
        <v>179</v>
      </c>
    </row>
    <row r="8" spans="1:7" x14ac:dyDescent="0.3">
      <c r="B8" s="2" t="s">
        <v>177</v>
      </c>
    </row>
    <row r="10" spans="1:7" ht="23.4" x14ac:dyDescent="0.45">
      <c r="A10" s="17" t="s">
        <v>162</v>
      </c>
    </row>
    <row r="11" spans="1:7" ht="14.4" x14ac:dyDescent="0.3">
      <c r="A11" s="31" t="s">
        <v>86</v>
      </c>
      <c r="B11" s="16" t="s">
        <v>87</v>
      </c>
      <c r="C11" s="16" t="s">
        <v>88</v>
      </c>
    </row>
    <row r="12" spans="1:7" ht="14.4" x14ac:dyDescent="0.3">
      <c r="A12" s="31">
        <v>44927</v>
      </c>
      <c r="B12" s="16" t="s">
        <v>59</v>
      </c>
      <c r="C12" s="16">
        <v>200</v>
      </c>
    </row>
    <row r="13" spans="1:7" ht="14.4" x14ac:dyDescent="0.3">
      <c r="A13" s="31">
        <v>44928</v>
      </c>
      <c r="B13" s="16" t="s">
        <v>60</v>
      </c>
      <c r="C13" s="16" t="e">
        <v>#N/A</v>
      </c>
    </row>
    <row r="14" spans="1:7" ht="14.4" x14ac:dyDescent="0.3">
      <c r="A14" s="31">
        <v>44929</v>
      </c>
      <c r="B14" s="16" t="s">
        <v>61</v>
      </c>
      <c r="C14" s="16">
        <v>50</v>
      </c>
    </row>
    <row r="15" spans="1:7" ht="14.4" x14ac:dyDescent="0.3">
      <c r="A15" s="31">
        <v>44930</v>
      </c>
      <c r="B15" s="16" t="s">
        <v>62</v>
      </c>
      <c r="C15" s="16" t="e">
        <v>#N/A</v>
      </c>
    </row>
    <row r="16" spans="1:7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SUM(IF(ISNA(C12:C21), -20, C12:C21))</f>
        <v>440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abSelected="1" zoomScaleNormal="100" workbookViewId="0">
      <selection activeCell="E35" sqref="E3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41" t="s">
        <v>98</v>
      </c>
      <c r="B1" s="40" t="s">
        <v>175</v>
      </c>
    </row>
    <row r="3" spans="1:15" ht="14.4" x14ac:dyDescent="0.3">
      <c r="B3" s="1" t="s">
        <v>151</v>
      </c>
    </row>
    <row r="4" spans="1:15" ht="18" x14ac:dyDescent="0.35">
      <c r="A4" s="42" t="s">
        <v>53</v>
      </c>
      <c r="B4" s="1"/>
      <c r="C4" s="2" t="s">
        <v>182</v>
      </c>
      <c r="I4" s="2" t="s">
        <v>183</v>
      </c>
      <c r="O4" s="2" t="s">
        <v>184</v>
      </c>
    </row>
    <row r="5" spans="1:15" ht="18" x14ac:dyDescent="0.35">
      <c r="A5" s="42" t="s">
        <v>153</v>
      </c>
      <c r="B5" s="1" t="s">
        <v>185</v>
      </c>
    </row>
    <row r="6" spans="1:15" ht="14.4" x14ac:dyDescent="0.3">
      <c r="A6" s="3"/>
      <c r="B6" s="1" t="s">
        <v>186</v>
      </c>
    </row>
    <row r="7" spans="1:15" x14ac:dyDescent="0.3">
      <c r="B7" s="2" t="s">
        <v>187</v>
      </c>
    </row>
    <row r="8" spans="1:15" ht="23.4" x14ac:dyDescent="0.45">
      <c r="A8" s="17" t="s">
        <v>162</v>
      </c>
      <c r="M8" s="17" t="s">
        <v>163</v>
      </c>
    </row>
    <row r="9" spans="1:15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5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5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5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5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5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5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5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f>SUM(INDEX($A$9:$N$18,MATCH(A23,$M$9:$M$18,0),MATCH(A10,$A$9:$N$9,0)),INDEX($A$9:$N$18,MATCH(B23,$M$9:$M$18,0),MATCH(A11,$A$9:$N$9,0)))</f>
        <v>-2</v>
      </c>
    </row>
    <row r="24" spans="1:14" ht="14.4" x14ac:dyDescent="0.3">
      <c r="A24" s="7">
        <v>10100</v>
      </c>
      <c r="B24" s="11">
        <v>10104</v>
      </c>
      <c r="C24" s="43">
        <f>SUM(INDEX($A$9:$N$18,MATCH(A24,$M$9:$M$18,0),MATCH(A11,$A$9:$N$9,0)),INDEX($A$9:$N$18,MATCH(B24,$M$9:$M$18,0),MATCH(A12,$A$9:$N$9,0)))</f>
        <v>94</v>
      </c>
    </row>
    <row r="25" spans="1:14" ht="14.4" x14ac:dyDescent="0.3">
      <c r="A25" s="7">
        <v>10108</v>
      </c>
      <c r="B25" s="11">
        <v>10102</v>
      </c>
      <c r="C25" s="43">
        <f>SUM(INDEX($A$9:$N$18,MATCH(A25,$M$9:$M$18,0),MATCH(A12,$A$9:$N$9,0)),INDEX($A$9:$N$18,MATCH(B25,$M$9:$M$18,0),MATCH(A13,$A$9:$N$9,0)))</f>
        <v>220</v>
      </c>
    </row>
    <row r="26" spans="1:14" ht="14.4" x14ac:dyDescent="0.3">
      <c r="A26" s="7">
        <v>10100</v>
      </c>
      <c r="B26" s="11">
        <v>10106</v>
      </c>
      <c r="C26" s="43">
        <f>SUM(INDEX($A$9:$N$18,MATCH(A26,$M$9:$M$18,0),MATCH(A13,$A$9:$N$9,0)),INDEX($A$9:$N$18,MATCH(B26,$M$9:$M$18,0),MATCH(A14,$A$9:$N$9,0)))</f>
        <v>255</v>
      </c>
    </row>
    <row r="27" spans="1:14" ht="14.4" x14ac:dyDescent="0.3">
      <c r="A27" s="7">
        <v>10108</v>
      </c>
      <c r="B27" s="11">
        <v>10110</v>
      </c>
      <c r="C27" s="43">
        <f>SUM(INDEX($A$9:$N$18,MATCH(A27,$M$9:$M$18,0),MATCH(A14,$A$9:$N$9,0)),INDEX($A$9:$N$18,MATCH(B27,$M$9:$M$18,0),MATCH(A15,$A$9:$N$9,0)))</f>
        <v>-2</v>
      </c>
    </row>
    <row r="28" spans="1:14" ht="14.4" x14ac:dyDescent="0.3">
      <c r="A28" s="7">
        <v>10102</v>
      </c>
      <c r="B28" s="11">
        <v>10104</v>
      </c>
      <c r="C28" s="43">
        <f>SUM(INDEX($A$9:$N$18,MATCH(A28,$M$9:$M$18,0),MATCH(A15,$A$9:$N$9,0)),INDEX($A$9:$N$18,MATCH(B28,$M$9:$M$18,0),MATCH(A16,$A$9:$N$9,0)))</f>
        <v>505</v>
      </c>
    </row>
    <row r="29" spans="1:14" ht="14.4" x14ac:dyDescent="0.3">
      <c r="A29" s="7">
        <v>10106</v>
      </c>
      <c r="B29" s="11">
        <v>10108</v>
      </c>
      <c r="C29" s="43">
        <f>SUM(INDEX($A$9:$N$18,MATCH(A29,$M$9:$M$18,0),MATCH(A16,$A$9:$N$9,0)),INDEX($A$9:$N$18,MATCH(B29,$M$9:$M$18,0),MATCH(A17,$A$9:$N$9,0)))</f>
        <v>465</v>
      </c>
    </row>
    <row r="30" spans="1:14" ht="14.4" x14ac:dyDescent="0.3">
      <c r="A30" s="7">
        <v>10102</v>
      </c>
      <c r="B30" s="11">
        <v>10106</v>
      </c>
      <c r="C30" s="43">
        <f>SUM(INDEX($A$9:$N$18,MATCH(A30,$M$9:$M$18,0),MATCH(A17,$A$9:$N$9,0)),INDEX($A$9:$N$18,MATCH(B30,$M$9:$M$18,0),MATCH(A18,$A$9:$N$9,0)))</f>
        <v>730</v>
      </c>
    </row>
    <row r="31" spans="1:14" ht="14.4" x14ac:dyDescent="0.3">
      <c r="A31" s="7">
        <v>10110</v>
      </c>
      <c r="B31" s="11">
        <v>10114</v>
      </c>
      <c r="C31" s="43">
        <f>SUM(INDEX($A$9:$N$18,MATCH(A31,$M$9:$M$18,0),MATCH(A15,$A$9:$J$9,0)),INDEX($A$9:$N$18,MATCH(B31,$M$9:$M$18,0),MATCH(A17,$A$9:$J$9,0)))</f>
        <v>-2</v>
      </c>
    </row>
    <row r="32" spans="1:14" ht="14.4" x14ac:dyDescent="0.3">
      <c r="A32" s="7">
        <v>10104</v>
      </c>
      <c r="B32" s="11">
        <v>10106</v>
      </c>
      <c r="C32" s="43">
        <f>SUM(INDEX($A$9:$N$18,MATCH(A32,$M$9:$M$18,0),MATCH(A16,$A$9:$J$9,0)),INDEX($A$9:$N$18,MATCH(B32,$M$9:$M$18,0),MATCH(A18,$A$9:$J$9,0)))</f>
        <v>635</v>
      </c>
    </row>
    <row r="33" spans="1:3" ht="14.4" x14ac:dyDescent="0.3">
      <c r="A33" s="7">
        <v>10110</v>
      </c>
      <c r="B33" s="11">
        <v>10112</v>
      </c>
      <c r="C33" s="43">
        <f>SUM(INDEX($A$9:$N$18,MATCH(A33,$M$9:$M$18,0),MATCH(A15,$A$9:$J$9,0)),INDEX($A$9:$N$18,MATCH(B33,$M$9:$M$18,0),MATCH(A16,$A$9:$J$9,0)))</f>
        <v>-2</v>
      </c>
    </row>
    <row r="34" spans="1:3" ht="14.4" x14ac:dyDescent="0.3">
      <c r="A34" s="7">
        <v>10100</v>
      </c>
      <c r="B34" s="11">
        <v>10114</v>
      </c>
      <c r="C34" s="43">
        <f>SUM(INDEX($A$9:$N$18,MATCH(A34,$M$9:$M$18,0),MATCH(A16,$A$9:$J$9,0)),INDEX($A$9:$N$18,MATCH(B34,$M$9:$M$18,0),MATCH(A17,$A$9:$J$9,0)))</f>
        <v>414</v>
      </c>
    </row>
    <row r="35" spans="1:3" ht="14.4" x14ac:dyDescent="0.3">
      <c r="A35" s="9">
        <v>10112</v>
      </c>
      <c r="B35" s="12">
        <v>10116</v>
      </c>
      <c r="C35" s="43">
        <f>SUM(INDEX($A$9:$N$18,MATCH(A35,$M$9:$M$18,0),MATCH(A17,$A$9:$J$9,0)),INDEX($A$9:$N$18,MATCH(B35,$M$9:$M$18,0),MATCH(A18,$A$9:$J$9,0)))</f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Dataset</vt:lpstr>
      <vt:lpstr>Table_A</vt:lpstr>
      <vt:lpstr>Table_B</vt:lpstr>
      <vt:lpstr>Table_C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Sagar Dash</cp:lastModifiedBy>
  <dcterms:created xsi:type="dcterms:W3CDTF">2015-02-10T17:33:11Z</dcterms:created>
  <dcterms:modified xsi:type="dcterms:W3CDTF">2023-12-10T11:43:27Z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a4a18d4-3c5d-4034-871c-ad7a97cac0f2_Enabled">
    <vt:lpwstr>true</vt:lpwstr>
  </property>
  <property fmtid="{D5CDD505-2E9C-101B-9397-08002B2CF9AE}" pid="3" name="MSIP_Label_da4a18d4-3c5d-4034-871c-ad7a97cac0f2_SetDate">
    <vt:lpwstr>2023-12-08T15:29:18Z</vt:lpwstr>
  </property>
  <property fmtid="{D5CDD505-2E9C-101B-9397-08002B2CF9AE}" pid="4" name="MSIP_Label_da4a18d4-3c5d-4034-871c-ad7a97cac0f2_Method">
    <vt:lpwstr>Standard</vt:lpwstr>
  </property>
  <property fmtid="{D5CDD505-2E9C-101B-9397-08002B2CF9AE}" pid="5" name="MSIP_Label_da4a18d4-3c5d-4034-871c-ad7a97cac0f2_Name">
    <vt:lpwstr>Public</vt:lpwstr>
  </property>
  <property fmtid="{D5CDD505-2E9C-101B-9397-08002B2CF9AE}" pid="6" name="MSIP_Label_da4a18d4-3c5d-4034-871c-ad7a97cac0f2_SiteId">
    <vt:lpwstr>24db827e-8565-44c1-9ba8-99217c71fd82</vt:lpwstr>
  </property>
  <property fmtid="{D5CDD505-2E9C-101B-9397-08002B2CF9AE}" pid="7" name="MSIP_Label_da4a18d4-3c5d-4034-871c-ad7a97cac0f2_ActionId">
    <vt:lpwstr>757db969-abc4-4258-a5ac-73216e336e02</vt:lpwstr>
  </property>
  <property fmtid="{D5CDD505-2E9C-101B-9397-08002B2CF9AE}" pid="8" name="MSIP_Label_da4a18d4-3c5d-4034-871c-ad7a97cac0f2_ContentBits">
    <vt:lpwstr>0</vt:lpwstr>
  </property>
</Properties>
</file>